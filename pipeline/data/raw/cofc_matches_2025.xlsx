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issawilliams/Desktop/"/>
    </mc:Choice>
  </mc:AlternateContent>
  <xr:revisionPtr revIDLastSave="0" documentId="13_ncr:1_{FDEEDA9A-B6FA-774A-B597-3C9B4B0F4FED}" xr6:coauthVersionLast="47" xr6:coauthVersionMax="47" xr10:uidLastSave="{00000000-0000-0000-0000-000000000000}"/>
  <bookViews>
    <workbookView xWindow="27360" yWindow="1080" windowWidth="36220" windowHeight="22500" xr2:uid="{00000000-000D-0000-FFFF-FFFF00000000}"/>
  </bookViews>
  <sheets>
    <sheet name="TeamSta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1" l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</calcChain>
</file>

<file path=xl/sharedStrings.xml><?xml version="1.0" encoding="utf-8"?>
<sst xmlns="http://schemas.openxmlformats.org/spreadsheetml/2006/main" count="188" uniqueCount="84">
  <si>
    <t>Date</t>
  </si>
  <si>
    <t>Match</t>
  </si>
  <si>
    <t>Competition</t>
  </si>
  <si>
    <t>Duration</t>
  </si>
  <si>
    <t>Team</t>
  </si>
  <si>
    <t>Scheme</t>
  </si>
  <si>
    <t>Goals</t>
  </si>
  <si>
    <t>xG</t>
  </si>
  <si>
    <t>Shots / on target</t>
  </si>
  <si>
    <t/>
  </si>
  <si>
    <t>Passes / accurate</t>
  </si>
  <si>
    <t>Possession, %</t>
  </si>
  <si>
    <t>Losses / Low / Medium / High</t>
  </si>
  <si>
    <t>Recoveries / Low / Medium / High</t>
  </si>
  <si>
    <t>Duels / won</t>
  </si>
  <si>
    <t>Charleston Cougars</t>
  </si>
  <si>
    <t>Opponents</t>
  </si>
  <si>
    <t>2025-11-02</t>
  </si>
  <si>
    <t>Charleston Cougars - UNCW Seahawks 2:1</t>
  </si>
  <si>
    <t>United States. NCAA D1 Coastal Athletic Association</t>
  </si>
  <si>
    <t>5-3-2 (100.0%)</t>
  </si>
  <si>
    <t>UNCW Seahawks</t>
  </si>
  <si>
    <t>4-1-3-2 (100.0%)</t>
  </si>
  <si>
    <t>2025-10-25</t>
  </si>
  <si>
    <t>William &amp; Mary Tribe - Charleston Cougars 1:3</t>
  </si>
  <si>
    <t>William &amp; Mary Tribe</t>
  </si>
  <si>
    <t>4-2-3-1 (78.5%)</t>
  </si>
  <si>
    <t>2025-10-18</t>
  </si>
  <si>
    <t>Charleston Cougars - Elon Phoenix 0:0</t>
  </si>
  <si>
    <t>3-4-3 (100.0%)</t>
  </si>
  <si>
    <t>Elon Phoenix</t>
  </si>
  <si>
    <t>4-2-3-1 (100.0%)</t>
  </si>
  <si>
    <t>2025-10-15</t>
  </si>
  <si>
    <t>Winthrop Eagles - Charleston Cougars 1:1</t>
  </si>
  <si>
    <t>United States. NCAA D1 Non-conference matches</t>
  </si>
  <si>
    <t>Winthrop Eagles</t>
  </si>
  <si>
    <t>4-3-1-2 (100.0%)</t>
  </si>
  <si>
    <t>2025-10-08</t>
  </si>
  <si>
    <t>Charleston Cougars - North Florida Ospreyes 0:3</t>
  </si>
  <si>
    <t>4-5-1 (100.0%)</t>
  </si>
  <si>
    <t>North Florida Ospreyes</t>
  </si>
  <si>
    <t>5-4-1 (100.0%)</t>
  </si>
  <si>
    <t>2025-10-05</t>
  </si>
  <si>
    <t>Campbell Camels - Charleston Cougars 3:2</t>
  </si>
  <si>
    <t>4-1-4-1 (59.1%)</t>
  </si>
  <si>
    <t>Campbell Camels</t>
  </si>
  <si>
    <t>2025-09-27</t>
  </si>
  <si>
    <t>Charleston Cougars - William &amp; Mary Tribe 3:1</t>
  </si>
  <si>
    <t>4-1-4-1 (94.06%)</t>
  </si>
  <si>
    <t>4-2-3-1 (86.38%)</t>
  </si>
  <si>
    <t>2025-09-24</t>
  </si>
  <si>
    <t>Charleston Cougars - Georgia Southern Eagles 0:1</t>
  </si>
  <si>
    <t>4-1-4-1 (100.0%)</t>
  </si>
  <si>
    <t>Georgia Southern Eagles</t>
  </si>
  <si>
    <t>2025-09-17</t>
  </si>
  <si>
    <t>Furman Paladins - Charleston Cougars 0:1</t>
  </si>
  <si>
    <t>3-5-2 (100.0%)</t>
  </si>
  <si>
    <t>Furman Paladins</t>
  </si>
  <si>
    <t>2025-09-13</t>
  </si>
  <si>
    <t>Charleston Cougars - Campbell Camels 0:0</t>
  </si>
  <si>
    <t>4-3-3 (100.0%)</t>
  </si>
  <si>
    <t>2025-09-10</t>
  </si>
  <si>
    <t>Charleston Cougars - USC Upstate Spartans 1:0</t>
  </si>
  <si>
    <t>USC Upstate Spartans</t>
  </si>
  <si>
    <t>4-4-2 (36.91%)</t>
  </si>
  <si>
    <t>2025-09-06</t>
  </si>
  <si>
    <t>Elon Phoenix - Charleston Cougars 1:0</t>
  </si>
  <si>
    <t>4-3-2-1 (100.0%)</t>
  </si>
  <si>
    <t>2025-09-02</t>
  </si>
  <si>
    <t>Charleston Cougars - North Carolina Heels 2:0</t>
  </si>
  <si>
    <t>4-5-1 (81.23%)</t>
  </si>
  <si>
    <t>North Carolina Heels</t>
  </si>
  <si>
    <t>5-3-2 (91.86%)</t>
  </si>
  <si>
    <t>2025-08-30</t>
  </si>
  <si>
    <t>Charleston Cougars - Boston Terriers 1:5</t>
  </si>
  <si>
    <t>Boston Terriers</t>
  </si>
  <si>
    <t>2025-08-26</t>
  </si>
  <si>
    <t>Davidson Wildcats - Charleston Cougars 3:2</t>
  </si>
  <si>
    <t>4-3-3 (74.56%)</t>
  </si>
  <si>
    <t>Davidson Wildcats</t>
  </si>
  <si>
    <t>3-4-1-2 (45.39%)</t>
  </si>
  <si>
    <t>2025-08-22</t>
  </si>
  <si>
    <t>Charleston Cougars - South Carolina Gamecocks 2:3</t>
  </si>
  <si>
    <t>South Carolina Gamecocks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</si>
</sst>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5"/>
  <sheetViews>
    <sheetView tabSelected="1" showOutlineSymbols="0" showWhiteSpace="0" workbookViewId="0">
      <selection activeCell="I47" sqref="I47"/>
    </sheetView>
  </sheetViews>
  <sheetFormatPr baseColWidth="10" defaultColWidth="8.83203125" defaultRowHeight="14" x14ac:dyDescent="0.15"/>
  <cols>
    <col min="1" max="1" width="14.1640625" bestFit="1" customWidth="1"/>
    <col min="2" max="2" width="37.1640625" bestFit="1" customWidth="1"/>
    <col min="3" max="3" width="62.6640625" customWidth="1"/>
    <col min="4" max="4" width="7.5" bestFit="1" customWidth="1"/>
    <col min="5" max="5" width="19.6640625" bestFit="1" customWidth="1"/>
    <col min="6" max="6" width="14.1640625" bestFit="1" customWidth="1"/>
    <col min="7" max="7" width="5.33203125" bestFit="1" customWidth="1"/>
    <col min="8" max="8" width="6.33203125" bestFit="1" customWidth="1"/>
    <col min="9" max="9" width="15.1640625" bestFit="1" customWidth="1"/>
    <col min="10" max="10" width="5.33203125" bestFit="1" customWidth="1"/>
    <col min="11" max="11" width="7.5" bestFit="1" customWidth="1"/>
    <col min="12" max="12" width="10.83203125" bestFit="1" customWidth="1"/>
    <col min="13" max="14" width="7.5" bestFit="1" customWidth="1"/>
    <col min="15" max="15" width="11.83203125" bestFit="1" customWidth="1"/>
    <col min="16" max="16" width="26.1640625" bestFit="1" customWidth="1"/>
    <col min="17" max="19" width="6.33203125" bestFit="1" customWidth="1"/>
    <col min="20" max="20" width="30.6640625" bestFit="1" customWidth="1"/>
    <col min="21" max="23" width="6.33203125" bestFit="1" customWidth="1"/>
    <col min="24" max="24" width="13" bestFit="1" customWidth="1"/>
    <col min="25" max="26" width="7.5" bestFit="1" customWidth="1"/>
  </cols>
  <sheetData>
    <row r="1" spans="1:26" ht="56" customHeight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9</v>
      </c>
      <c r="L1" s="2" t="s">
        <v>10</v>
      </c>
      <c r="M1" s="2" t="s">
        <v>9</v>
      </c>
      <c r="N1" s="2" t="s">
        <v>9</v>
      </c>
      <c r="O1" t="s">
        <v>11</v>
      </c>
      <c r="P1" s="2" t="s">
        <v>12</v>
      </c>
      <c r="Q1" s="2" t="s">
        <v>9</v>
      </c>
      <c r="R1" s="2" t="s">
        <v>9</v>
      </c>
      <c r="S1" s="2" t="s">
        <v>9</v>
      </c>
      <c r="T1" s="2" t="s">
        <v>13</v>
      </c>
      <c r="U1" s="2" t="s">
        <v>9</v>
      </c>
      <c r="V1" s="2" t="s">
        <v>9</v>
      </c>
      <c r="W1" s="2" t="s">
        <v>9</v>
      </c>
      <c r="X1" s="2" t="s">
        <v>14</v>
      </c>
      <c r="Y1" s="2" t="s">
        <v>9</v>
      </c>
      <c r="Z1" s="2" t="s">
        <v>9</v>
      </c>
    </row>
    <row r="2" spans="1:26" x14ac:dyDescent="0.15">
      <c r="A2" s="1" t="s">
        <v>15</v>
      </c>
      <c r="B2" s="1"/>
      <c r="C2" s="1"/>
      <c r="D2" s="1"/>
      <c r="E2" s="1"/>
      <c r="F2" s="1"/>
      <c r="G2" s="1">
        <f t="shared" ref="G2:J3" si="0">AVERAGE(G4,G6,G8,G10,G12,G14,G16,G18,G20,G22,G24,G26,G28,G30,G32,G34)</f>
        <v>1.25</v>
      </c>
      <c r="H2" s="1">
        <f t="shared" si="0"/>
        <v>1.1337499999999998</v>
      </c>
      <c r="I2" s="1">
        <f t="shared" si="0"/>
        <v>10.125</v>
      </c>
      <c r="J2" s="1">
        <f t="shared" si="0"/>
        <v>3.875</v>
      </c>
      <c r="K2" s="1">
        <f>IFERROR(SUM(J4,J6,J8,J10,J12,J14,J16,J18,J20,J22,J24,J26,J28,J30,J32,J34)/SUM(I4,I6,I8,I10,I12,I14,I16,I18,I20,I22,I24,I26,I28,I30,I32,I34)*100,0)</f>
        <v>38.271604938271601</v>
      </c>
      <c r="L2" s="1">
        <f>AVERAGE(L4,L6,L8,L10,L12,L14,L16,L18,L20,L22,L24,L26,L28,L30,L32,L34)</f>
        <v>403.75</v>
      </c>
      <c r="M2" s="1">
        <f>AVERAGE(M4,M6,M8,M10,M12,M14,M16,M18,M20,M22,M24,M26,M28,M30,M32,M34)</f>
        <v>312.375</v>
      </c>
      <c r="N2" s="1">
        <f>IFERROR(SUM(M4,M6,M8,M10,M12,M14,M16,M18,M20,M22,M24,M26,M28,M30,M32,M34)/SUM(L4,L6,L8,L10,L12,L14,L16,L18,L20,L22,L24,L26,L28,L30,L32,L34)*100,0)</f>
        <v>77.368421052631575</v>
      </c>
      <c r="O2" s="1">
        <f t="shared" ref="O2:Y2" si="1">AVERAGE(O4,O6,O8,O10,O12,O14,O16,O18,O20,O22,O24,O26,O28,O30,O32,O34)</f>
        <v>47.786250000000003</v>
      </c>
      <c r="P2" s="1">
        <f t="shared" si="1"/>
        <v>135.5625</v>
      </c>
      <c r="Q2" s="1">
        <f t="shared" si="1"/>
        <v>24.6875</v>
      </c>
      <c r="R2" s="1">
        <f t="shared" si="1"/>
        <v>52.4375</v>
      </c>
      <c r="S2" s="1">
        <f t="shared" si="1"/>
        <v>58.4375</v>
      </c>
      <c r="T2" s="1">
        <f t="shared" si="1"/>
        <v>91.625</v>
      </c>
      <c r="U2" s="1">
        <f t="shared" si="1"/>
        <v>39.625</v>
      </c>
      <c r="V2" s="1">
        <f t="shared" si="1"/>
        <v>39.375</v>
      </c>
      <c r="W2" s="1">
        <f t="shared" si="1"/>
        <v>12.625</v>
      </c>
      <c r="X2" s="1">
        <f t="shared" si="1"/>
        <v>216.375</v>
      </c>
      <c r="Y2" s="1">
        <f t="shared" si="1"/>
        <v>106.5</v>
      </c>
      <c r="Z2" s="1">
        <f>IFERROR(SUM(Y4,Y6,Y8,Y10,Y12,Y14,Y16,Y18,Y20,Y22,Y24,Y26,Y28,Y30,Y32,Y34)/SUM(X4,X6,X8,X10,X12,X14,X16,X18,X20,X22,X24,X26,X28,X30,X32,X34)*100,0)</f>
        <v>49.220103986135186</v>
      </c>
    </row>
    <row r="3" spans="1:26" x14ac:dyDescent="0.15">
      <c r="A3" s="1" t="s">
        <v>16</v>
      </c>
      <c r="B3" s="1"/>
      <c r="C3" s="1"/>
      <c r="D3" s="1"/>
      <c r="E3" s="1"/>
      <c r="F3" s="1"/>
      <c r="G3" s="1">
        <f t="shared" si="0"/>
        <v>1.4375</v>
      </c>
      <c r="H3" s="1">
        <f t="shared" si="0"/>
        <v>1.139375</v>
      </c>
      <c r="I3" s="1">
        <f t="shared" si="0"/>
        <v>13.625</v>
      </c>
      <c r="J3" s="1">
        <f t="shared" si="0"/>
        <v>4.1875</v>
      </c>
      <c r="K3" s="1">
        <f>IFERROR(SUM(J5,J7,J9,J11,J13,J15,J17,J19,J21,J23,J25,J27,J29,J31,J33,J35)/SUM(I5,I7,I9,I11,I13,I15,I17,I19,I21,I23,I25,I27,I29,I31,I33,I35)*100,0)</f>
        <v>30.73394495412844</v>
      </c>
      <c r="L3" s="1">
        <f>AVERAGE(L5,L7,L9,L11,L13,L15,L17,L19,L21,L23,L25,L27,L29,L31,L33,L35)</f>
        <v>429.1875</v>
      </c>
      <c r="M3" s="1">
        <f>AVERAGE(M5,M7,M9,M11,M13,M15,M17,M19,M21,M23,M25,M27,M29,M31,M33,M35)</f>
        <v>340.5</v>
      </c>
      <c r="N3" s="1">
        <f>IFERROR(SUM(M5,M7,M9,M11,M13,M15,M17,M19,M21,M23,M25,M27,M29,M31,M33,M35)/SUM(L5,L7,L9,L11,L13,L15,L17,L19,L21,L23,L25,L27,L29,L31,L33,L35)*100,0)</f>
        <v>79.335954565312363</v>
      </c>
      <c r="O3" s="1">
        <f t="shared" ref="O3:Y3" si="2">AVERAGE(O5,O7,O9,O11,O13,O15,O17,O19,O21,O23,O25,O27,O29,O31,O33,O35)</f>
        <v>52.213749999999997</v>
      </c>
      <c r="P3" s="1">
        <f t="shared" si="2"/>
        <v>133.3125</v>
      </c>
      <c r="Q3" s="1">
        <f t="shared" si="2"/>
        <v>20.9375</v>
      </c>
      <c r="R3" s="1">
        <f t="shared" si="2"/>
        <v>54.9375</v>
      </c>
      <c r="S3" s="1">
        <f t="shared" si="2"/>
        <v>57.4375</v>
      </c>
      <c r="T3" s="1">
        <f t="shared" si="2"/>
        <v>93.3125</v>
      </c>
      <c r="U3" s="1">
        <f t="shared" si="2"/>
        <v>38.625</v>
      </c>
      <c r="V3" s="1">
        <f t="shared" si="2"/>
        <v>40.9375</v>
      </c>
      <c r="W3" s="1">
        <f t="shared" si="2"/>
        <v>13.75</v>
      </c>
      <c r="X3" s="1">
        <f t="shared" si="2"/>
        <v>216.375</v>
      </c>
      <c r="Y3" s="1">
        <f t="shared" si="2"/>
        <v>100.6875</v>
      </c>
      <c r="Z3" s="1">
        <f>IFERROR(SUM(Y5,Y7,Y9,Y11,Y13,Y15,Y17,Y19,Y21,Y23,Y25,Y27,Y29,Y31,Y33,Y35)/SUM(X5,X7,X9,X11,X13,X15,X17,X19,X21,X23,X25,X27,X29,X31,X33,X35)*100,0)</f>
        <v>46.533795493934143</v>
      </c>
    </row>
    <row r="4" spans="1:26" ht="12" customHeight="1" x14ac:dyDescent="0.15">
      <c r="A4" s="2" t="s">
        <v>17</v>
      </c>
      <c r="B4" s="2" t="s">
        <v>18</v>
      </c>
      <c r="C4" s="2" t="s">
        <v>19</v>
      </c>
      <c r="D4" s="2">
        <v>100</v>
      </c>
      <c r="E4" t="s">
        <v>15</v>
      </c>
      <c r="F4" t="s">
        <v>20</v>
      </c>
      <c r="G4">
        <v>2</v>
      </c>
      <c r="H4">
        <v>1.0900000000000001</v>
      </c>
      <c r="I4">
        <v>7</v>
      </c>
      <c r="J4">
        <v>4</v>
      </c>
      <c r="K4">
        <v>57.14</v>
      </c>
      <c r="L4">
        <v>405</v>
      </c>
      <c r="M4">
        <v>302</v>
      </c>
      <c r="N4">
        <v>74.569999999999993</v>
      </c>
      <c r="O4">
        <v>45.45</v>
      </c>
      <c r="P4">
        <v>136</v>
      </c>
      <c r="Q4">
        <v>29</v>
      </c>
      <c r="R4">
        <v>59</v>
      </c>
      <c r="S4">
        <v>48</v>
      </c>
      <c r="T4">
        <v>92</v>
      </c>
      <c r="U4">
        <v>49</v>
      </c>
      <c r="V4">
        <v>30</v>
      </c>
      <c r="W4">
        <v>13</v>
      </c>
      <c r="X4">
        <v>221</v>
      </c>
      <c r="Y4">
        <v>114</v>
      </c>
      <c r="Z4">
        <v>51.58</v>
      </c>
    </row>
    <row r="5" spans="1:26" ht="12" customHeight="1" x14ac:dyDescent="0.15">
      <c r="A5" s="2" t="s">
        <v>17</v>
      </c>
      <c r="B5" s="2" t="s">
        <v>18</v>
      </c>
      <c r="C5" s="2" t="s">
        <v>19</v>
      </c>
      <c r="D5" s="2">
        <v>100</v>
      </c>
      <c r="E5" t="s">
        <v>21</v>
      </c>
      <c r="F5" t="s">
        <v>22</v>
      </c>
      <c r="G5">
        <v>1</v>
      </c>
      <c r="H5">
        <v>0.83</v>
      </c>
      <c r="I5">
        <v>10</v>
      </c>
      <c r="J5">
        <v>2</v>
      </c>
      <c r="K5">
        <v>20</v>
      </c>
      <c r="L5">
        <v>417</v>
      </c>
      <c r="M5">
        <v>326</v>
      </c>
      <c r="N5">
        <v>78.180000000000007</v>
      </c>
      <c r="O5">
        <v>54.55</v>
      </c>
      <c r="P5">
        <v>142</v>
      </c>
      <c r="Q5">
        <v>17</v>
      </c>
      <c r="R5">
        <v>47</v>
      </c>
      <c r="S5">
        <v>78</v>
      </c>
      <c r="T5">
        <v>95</v>
      </c>
      <c r="U5">
        <v>33</v>
      </c>
      <c r="V5">
        <v>46</v>
      </c>
      <c r="W5">
        <v>16</v>
      </c>
      <c r="X5">
        <v>221</v>
      </c>
      <c r="Y5">
        <v>95</v>
      </c>
      <c r="Z5">
        <v>42.99</v>
      </c>
    </row>
    <row r="6" spans="1:26" ht="12" customHeight="1" x14ac:dyDescent="0.15">
      <c r="A6" s="2" t="s">
        <v>23</v>
      </c>
      <c r="B6" s="2" t="s">
        <v>24</v>
      </c>
      <c r="C6" s="2" t="s">
        <v>19</v>
      </c>
      <c r="D6" s="2">
        <v>99</v>
      </c>
      <c r="E6" t="s">
        <v>15</v>
      </c>
      <c r="F6" t="s">
        <v>22</v>
      </c>
      <c r="G6">
        <v>3</v>
      </c>
      <c r="H6">
        <v>1.75</v>
      </c>
      <c r="I6">
        <v>10</v>
      </c>
      <c r="J6">
        <v>5</v>
      </c>
      <c r="K6">
        <v>50</v>
      </c>
      <c r="L6">
        <v>344</v>
      </c>
      <c r="M6">
        <v>242</v>
      </c>
      <c r="N6">
        <v>70.349999999999994</v>
      </c>
      <c r="O6">
        <v>39.590000000000003</v>
      </c>
      <c r="P6">
        <v>147</v>
      </c>
      <c r="Q6">
        <v>28</v>
      </c>
      <c r="R6">
        <v>68</v>
      </c>
      <c r="S6">
        <v>51</v>
      </c>
      <c r="T6">
        <v>105</v>
      </c>
      <c r="U6">
        <v>52</v>
      </c>
      <c r="V6">
        <v>42</v>
      </c>
      <c r="W6">
        <v>11</v>
      </c>
      <c r="X6">
        <v>297</v>
      </c>
      <c r="Y6">
        <v>148</v>
      </c>
      <c r="Z6">
        <v>49.83</v>
      </c>
    </row>
    <row r="7" spans="1:26" ht="12" customHeight="1" x14ac:dyDescent="0.15">
      <c r="A7" s="2" t="s">
        <v>23</v>
      </c>
      <c r="B7" s="2" t="s">
        <v>24</v>
      </c>
      <c r="C7" s="2" t="s">
        <v>19</v>
      </c>
      <c r="D7" s="2">
        <v>99</v>
      </c>
      <c r="E7" t="s">
        <v>25</v>
      </c>
      <c r="F7" t="s">
        <v>26</v>
      </c>
      <c r="G7">
        <v>1</v>
      </c>
      <c r="H7">
        <v>2.2599999999999998</v>
      </c>
      <c r="I7">
        <v>24</v>
      </c>
      <c r="J7">
        <v>7</v>
      </c>
      <c r="K7">
        <v>29.17</v>
      </c>
      <c r="L7">
        <v>471</v>
      </c>
      <c r="M7">
        <v>363</v>
      </c>
      <c r="N7">
        <v>77.069999999999993</v>
      </c>
      <c r="O7">
        <v>60.41</v>
      </c>
      <c r="P7">
        <v>159</v>
      </c>
      <c r="Q7">
        <v>17</v>
      </c>
      <c r="R7">
        <v>62</v>
      </c>
      <c r="S7">
        <v>80</v>
      </c>
      <c r="T7">
        <v>118</v>
      </c>
      <c r="U7">
        <v>38</v>
      </c>
      <c r="V7">
        <v>64</v>
      </c>
      <c r="W7">
        <v>16</v>
      </c>
      <c r="X7">
        <v>297</v>
      </c>
      <c r="Y7">
        <v>133</v>
      </c>
      <c r="Z7">
        <v>44.78</v>
      </c>
    </row>
    <row r="8" spans="1:26" ht="12" customHeight="1" x14ac:dyDescent="0.15">
      <c r="A8" s="2" t="s">
        <v>27</v>
      </c>
      <c r="B8" s="2" t="s">
        <v>28</v>
      </c>
      <c r="C8" s="2" t="s">
        <v>19</v>
      </c>
      <c r="D8" s="2">
        <v>98</v>
      </c>
      <c r="E8" t="s">
        <v>15</v>
      </c>
      <c r="F8" t="s">
        <v>29</v>
      </c>
      <c r="G8">
        <v>0</v>
      </c>
      <c r="H8">
        <v>0.4</v>
      </c>
      <c r="I8">
        <v>6</v>
      </c>
      <c r="J8">
        <v>1</v>
      </c>
      <c r="K8">
        <v>16.670000000000002</v>
      </c>
      <c r="L8">
        <v>329</v>
      </c>
      <c r="M8">
        <v>230</v>
      </c>
      <c r="N8">
        <v>69.91</v>
      </c>
      <c r="O8">
        <v>46.97</v>
      </c>
      <c r="P8">
        <v>133</v>
      </c>
      <c r="Q8">
        <v>31</v>
      </c>
      <c r="R8">
        <v>46</v>
      </c>
      <c r="S8">
        <v>56</v>
      </c>
      <c r="T8">
        <v>72</v>
      </c>
      <c r="U8">
        <v>35</v>
      </c>
      <c r="V8">
        <v>28</v>
      </c>
      <c r="W8">
        <v>9</v>
      </c>
      <c r="X8">
        <v>185</v>
      </c>
      <c r="Y8">
        <v>99</v>
      </c>
      <c r="Z8">
        <v>53.51</v>
      </c>
    </row>
    <row r="9" spans="1:26" ht="12" customHeight="1" x14ac:dyDescent="0.15">
      <c r="A9" s="2" t="s">
        <v>27</v>
      </c>
      <c r="B9" s="2" t="s">
        <v>28</v>
      </c>
      <c r="C9" s="2" t="s">
        <v>19</v>
      </c>
      <c r="D9" s="2">
        <v>98</v>
      </c>
      <c r="E9" t="s">
        <v>30</v>
      </c>
      <c r="F9" t="s">
        <v>31</v>
      </c>
      <c r="G9">
        <v>0</v>
      </c>
      <c r="H9">
        <v>0.53</v>
      </c>
      <c r="I9">
        <v>13</v>
      </c>
      <c r="J9">
        <v>4</v>
      </c>
      <c r="K9">
        <v>30.77</v>
      </c>
      <c r="L9">
        <v>399</v>
      </c>
      <c r="M9">
        <v>308</v>
      </c>
      <c r="N9">
        <v>77.19</v>
      </c>
      <c r="O9">
        <v>53.03</v>
      </c>
      <c r="P9">
        <v>125</v>
      </c>
      <c r="Q9">
        <v>14</v>
      </c>
      <c r="R9">
        <v>54</v>
      </c>
      <c r="S9">
        <v>57</v>
      </c>
      <c r="T9">
        <v>92</v>
      </c>
      <c r="U9">
        <v>31</v>
      </c>
      <c r="V9">
        <v>44</v>
      </c>
      <c r="W9">
        <v>17</v>
      </c>
      <c r="X9">
        <v>185</v>
      </c>
      <c r="Y9">
        <v>83</v>
      </c>
      <c r="Z9">
        <v>44.86</v>
      </c>
    </row>
    <row r="10" spans="1:26" ht="12" customHeight="1" x14ac:dyDescent="0.15">
      <c r="A10" s="2" t="s">
        <v>32</v>
      </c>
      <c r="B10" s="2" t="s">
        <v>33</v>
      </c>
      <c r="C10" s="2" t="s">
        <v>34</v>
      </c>
      <c r="D10" s="2">
        <v>103</v>
      </c>
      <c r="E10" t="s">
        <v>15</v>
      </c>
      <c r="F10" t="s">
        <v>20</v>
      </c>
      <c r="G10">
        <v>1</v>
      </c>
      <c r="H10">
        <v>1.3</v>
      </c>
      <c r="I10">
        <v>12</v>
      </c>
      <c r="J10">
        <v>4</v>
      </c>
      <c r="K10">
        <v>33.33</v>
      </c>
      <c r="L10">
        <v>349</v>
      </c>
      <c r="M10">
        <v>248</v>
      </c>
      <c r="N10">
        <v>71.06</v>
      </c>
      <c r="O10">
        <v>43.69</v>
      </c>
      <c r="P10">
        <v>143</v>
      </c>
      <c r="Q10">
        <v>26</v>
      </c>
      <c r="R10">
        <v>49</v>
      </c>
      <c r="S10">
        <v>68</v>
      </c>
      <c r="T10">
        <v>101</v>
      </c>
      <c r="U10">
        <v>37</v>
      </c>
      <c r="V10">
        <v>42</v>
      </c>
      <c r="W10">
        <v>22</v>
      </c>
      <c r="X10">
        <v>219</v>
      </c>
      <c r="Y10">
        <v>117</v>
      </c>
      <c r="Z10">
        <v>53.42</v>
      </c>
    </row>
    <row r="11" spans="1:26" ht="12" customHeight="1" x14ac:dyDescent="0.15">
      <c r="A11" s="2" t="s">
        <v>32</v>
      </c>
      <c r="B11" s="2" t="s">
        <v>33</v>
      </c>
      <c r="C11" s="2" t="s">
        <v>34</v>
      </c>
      <c r="D11" s="2">
        <v>103</v>
      </c>
      <c r="E11" t="s">
        <v>35</v>
      </c>
      <c r="F11" t="s">
        <v>36</v>
      </c>
      <c r="G11">
        <v>1</v>
      </c>
      <c r="H11">
        <v>0.51</v>
      </c>
      <c r="I11">
        <v>10</v>
      </c>
      <c r="J11">
        <v>3</v>
      </c>
      <c r="K11">
        <v>30</v>
      </c>
      <c r="L11">
        <v>497</v>
      </c>
      <c r="M11">
        <v>388</v>
      </c>
      <c r="N11">
        <v>78.069999999999993</v>
      </c>
      <c r="O11">
        <v>56.31</v>
      </c>
      <c r="P11">
        <v>158</v>
      </c>
      <c r="Q11">
        <v>26</v>
      </c>
      <c r="R11">
        <v>62</v>
      </c>
      <c r="S11">
        <v>70</v>
      </c>
      <c r="T11">
        <v>86</v>
      </c>
      <c r="U11">
        <v>38</v>
      </c>
      <c r="V11">
        <v>35</v>
      </c>
      <c r="W11">
        <v>13</v>
      </c>
      <c r="X11">
        <v>219</v>
      </c>
      <c r="Y11">
        <v>92</v>
      </c>
      <c r="Z11">
        <v>42.01</v>
      </c>
    </row>
    <row r="12" spans="1:26" ht="12" customHeight="1" x14ac:dyDescent="0.15">
      <c r="A12" s="2" t="s">
        <v>37</v>
      </c>
      <c r="B12" s="2" t="s">
        <v>38</v>
      </c>
      <c r="C12" s="2" t="s">
        <v>34</v>
      </c>
      <c r="D12" s="2">
        <v>98</v>
      </c>
      <c r="E12" t="s">
        <v>15</v>
      </c>
      <c r="F12" t="s">
        <v>39</v>
      </c>
      <c r="G12">
        <v>0</v>
      </c>
      <c r="H12">
        <v>0.64</v>
      </c>
      <c r="I12">
        <v>11</v>
      </c>
      <c r="J12">
        <v>3</v>
      </c>
      <c r="K12">
        <v>27.27</v>
      </c>
      <c r="L12">
        <v>476</v>
      </c>
      <c r="M12">
        <v>388</v>
      </c>
      <c r="N12">
        <v>81.510000000000005</v>
      </c>
      <c r="O12">
        <v>44.79</v>
      </c>
      <c r="P12">
        <v>111</v>
      </c>
      <c r="Q12">
        <v>21</v>
      </c>
      <c r="R12">
        <v>31</v>
      </c>
      <c r="S12">
        <v>59</v>
      </c>
      <c r="T12">
        <v>84</v>
      </c>
      <c r="U12">
        <v>42</v>
      </c>
      <c r="V12">
        <v>32</v>
      </c>
      <c r="W12">
        <v>10</v>
      </c>
      <c r="X12">
        <v>183</v>
      </c>
      <c r="Y12">
        <v>96</v>
      </c>
      <c r="Z12">
        <v>52.46</v>
      </c>
    </row>
    <row r="13" spans="1:26" ht="12" customHeight="1" x14ac:dyDescent="0.15">
      <c r="A13" s="2" t="s">
        <v>37</v>
      </c>
      <c r="B13" s="2" t="s">
        <v>38</v>
      </c>
      <c r="C13" s="2" t="s">
        <v>34</v>
      </c>
      <c r="D13" s="2">
        <v>98</v>
      </c>
      <c r="E13" t="s">
        <v>40</v>
      </c>
      <c r="F13" t="s">
        <v>41</v>
      </c>
      <c r="G13">
        <v>3</v>
      </c>
      <c r="H13">
        <v>2.4300000000000002</v>
      </c>
      <c r="I13">
        <v>22</v>
      </c>
      <c r="J13">
        <v>7</v>
      </c>
      <c r="K13">
        <v>31.82</v>
      </c>
      <c r="L13">
        <v>534</v>
      </c>
      <c r="M13">
        <v>463</v>
      </c>
      <c r="N13">
        <v>86.7</v>
      </c>
      <c r="O13">
        <v>55.21</v>
      </c>
      <c r="P13">
        <v>104</v>
      </c>
      <c r="Q13">
        <v>17</v>
      </c>
      <c r="R13">
        <v>36</v>
      </c>
      <c r="S13">
        <v>51</v>
      </c>
      <c r="T13">
        <v>91</v>
      </c>
      <c r="U13">
        <v>43</v>
      </c>
      <c r="V13">
        <v>30</v>
      </c>
      <c r="W13">
        <v>18</v>
      </c>
      <c r="X13">
        <v>183</v>
      </c>
      <c r="Y13">
        <v>80</v>
      </c>
      <c r="Z13">
        <v>43.72</v>
      </c>
    </row>
    <row r="14" spans="1:26" ht="12" customHeight="1" x14ac:dyDescent="0.15">
      <c r="A14" s="2" t="s">
        <v>42</v>
      </c>
      <c r="B14" s="2" t="s">
        <v>43</v>
      </c>
      <c r="C14" s="2" t="s">
        <v>19</v>
      </c>
      <c r="D14" s="2">
        <v>105</v>
      </c>
      <c r="E14" t="s">
        <v>15</v>
      </c>
      <c r="F14" t="s">
        <v>44</v>
      </c>
      <c r="G14">
        <v>2</v>
      </c>
      <c r="H14">
        <v>1.17</v>
      </c>
      <c r="I14">
        <v>10</v>
      </c>
      <c r="J14">
        <v>5</v>
      </c>
      <c r="K14">
        <v>50</v>
      </c>
      <c r="L14">
        <v>398</v>
      </c>
      <c r="M14">
        <v>293</v>
      </c>
      <c r="N14">
        <v>73.62</v>
      </c>
      <c r="O14">
        <v>46.7</v>
      </c>
      <c r="P14">
        <v>161</v>
      </c>
      <c r="Q14">
        <v>36</v>
      </c>
      <c r="R14">
        <v>52</v>
      </c>
      <c r="S14">
        <v>73</v>
      </c>
      <c r="T14">
        <v>102</v>
      </c>
      <c r="U14">
        <v>48</v>
      </c>
      <c r="V14">
        <v>42</v>
      </c>
      <c r="W14">
        <v>12</v>
      </c>
      <c r="X14">
        <v>233</v>
      </c>
      <c r="Y14">
        <v>128</v>
      </c>
      <c r="Z14">
        <v>54.94</v>
      </c>
    </row>
    <row r="15" spans="1:26" ht="12" customHeight="1" x14ac:dyDescent="0.15">
      <c r="A15" s="2" t="s">
        <v>42</v>
      </c>
      <c r="B15" s="2" t="s">
        <v>43</v>
      </c>
      <c r="C15" s="2" t="s">
        <v>19</v>
      </c>
      <c r="D15" s="2">
        <v>105</v>
      </c>
      <c r="E15" t="s">
        <v>45</v>
      </c>
      <c r="F15" t="s">
        <v>31</v>
      </c>
      <c r="G15">
        <v>3</v>
      </c>
      <c r="H15">
        <v>0.91</v>
      </c>
      <c r="I15">
        <v>14</v>
      </c>
      <c r="J15">
        <v>3</v>
      </c>
      <c r="K15">
        <v>21.43</v>
      </c>
      <c r="L15">
        <v>416</v>
      </c>
      <c r="M15">
        <v>318</v>
      </c>
      <c r="N15">
        <v>76.44</v>
      </c>
      <c r="O15">
        <v>53.3</v>
      </c>
      <c r="P15">
        <v>165</v>
      </c>
      <c r="Q15">
        <v>21</v>
      </c>
      <c r="R15">
        <v>55</v>
      </c>
      <c r="S15">
        <v>89</v>
      </c>
      <c r="T15">
        <v>112</v>
      </c>
      <c r="U15">
        <v>58</v>
      </c>
      <c r="V15">
        <v>35</v>
      </c>
      <c r="W15">
        <v>19</v>
      </c>
      <c r="X15">
        <v>233</v>
      </c>
      <c r="Y15">
        <v>99</v>
      </c>
      <c r="Z15">
        <v>42.49</v>
      </c>
    </row>
    <row r="16" spans="1:26" ht="12" customHeight="1" x14ac:dyDescent="0.15">
      <c r="A16" s="2" t="s">
        <v>46</v>
      </c>
      <c r="B16" s="2" t="s">
        <v>47</v>
      </c>
      <c r="C16" s="2" t="s">
        <v>19</v>
      </c>
      <c r="D16" s="2">
        <v>99</v>
      </c>
      <c r="E16" t="s">
        <v>15</v>
      </c>
      <c r="F16" t="s">
        <v>48</v>
      </c>
      <c r="G16">
        <v>3</v>
      </c>
      <c r="H16">
        <v>2.5299999999999998</v>
      </c>
      <c r="I16">
        <v>19</v>
      </c>
      <c r="J16">
        <v>8</v>
      </c>
      <c r="K16">
        <v>42.11</v>
      </c>
      <c r="L16">
        <v>389</v>
      </c>
      <c r="M16">
        <v>307</v>
      </c>
      <c r="N16">
        <v>78.92</v>
      </c>
      <c r="O16">
        <v>44.57</v>
      </c>
      <c r="P16">
        <v>153</v>
      </c>
      <c r="Q16">
        <v>24</v>
      </c>
      <c r="R16">
        <v>63</v>
      </c>
      <c r="S16">
        <v>66</v>
      </c>
      <c r="T16">
        <v>108</v>
      </c>
      <c r="U16">
        <v>38</v>
      </c>
      <c r="V16">
        <v>52</v>
      </c>
      <c r="W16">
        <v>18</v>
      </c>
      <c r="X16">
        <v>265</v>
      </c>
      <c r="Y16">
        <v>109</v>
      </c>
      <c r="Z16">
        <v>41.13</v>
      </c>
    </row>
    <row r="17" spans="1:26" ht="12" customHeight="1" x14ac:dyDescent="0.15">
      <c r="A17" s="2" t="s">
        <v>46</v>
      </c>
      <c r="B17" s="2" t="s">
        <v>47</v>
      </c>
      <c r="C17" s="2" t="s">
        <v>19</v>
      </c>
      <c r="D17" s="2">
        <v>99</v>
      </c>
      <c r="E17" t="s">
        <v>25</v>
      </c>
      <c r="F17" t="s">
        <v>49</v>
      </c>
      <c r="G17">
        <v>1</v>
      </c>
      <c r="H17">
        <v>1.2</v>
      </c>
      <c r="I17">
        <v>17</v>
      </c>
      <c r="J17">
        <v>3</v>
      </c>
      <c r="K17">
        <v>17.649999999999999</v>
      </c>
      <c r="L17">
        <v>485</v>
      </c>
      <c r="M17">
        <v>399</v>
      </c>
      <c r="N17">
        <v>82.27</v>
      </c>
      <c r="O17">
        <v>55.43</v>
      </c>
      <c r="P17">
        <v>138</v>
      </c>
      <c r="Q17">
        <v>34</v>
      </c>
      <c r="R17">
        <v>61</v>
      </c>
      <c r="S17">
        <v>43</v>
      </c>
      <c r="T17">
        <v>106</v>
      </c>
      <c r="U17">
        <v>40</v>
      </c>
      <c r="V17">
        <v>48</v>
      </c>
      <c r="W17">
        <v>18</v>
      </c>
      <c r="X17">
        <v>265</v>
      </c>
      <c r="Y17">
        <v>137</v>
      </c>
      <c r="Z17">
        <v>51.7</v>
      </c>
    </row>
    <row r="18" spans="1:26" ht="12" customHeight="1" x14ac:dyDescent="0.15">
      <c r="A18" s="2" t="s">
        <v>50</v>
      </c>
      <c r="B18" s="2" t="s">
        <v>51</v>
      </c>
      <c r="C18" s="2" t="s">
        <v>34</v>
      </c>
      <c r="D18" s="2">
        <v>101</v>
      </c>
      <c r="E18" t="s">
        <v>15</v>
      </c>
      <c r="F18" t="s">
        <v>52</v>
      </c>
      <c r="G18">
        <v>0</v>
      </c>
      <c r="H18">
        <v>0.89</v>
      </c>
      <c r="I18">
        <v>10</v>
      </c>
      <c r="J18">
        <v>5</v>
      </c>
      <c r="K18">
        <v>50</v>
      </c>
      <c r="L18">
        <v>542</v>
      </c>
      <c r="M18">
        <v>469</v>
      </c>
      <c r="N18">
        <v>86.53</v>
      </c>
      <c r="O18">
        <v>53.42</v>
      </c>
      <c r="P18">
        <v>113</v>
      </c>
      <c r="Q18">
        <v>12</v>
      </c>
      <c r="R18">
        <v>42</v>
      </c>
      <c r="S18">
        <v>59</v>
      </c>
      <c r="T18">
        <v>79</v>
      </c>
      <c r="U18">
        <v>31</v>
      </c>
      <c r="V18">
        <v>35</v>
      </c>
      <c r="W18">
        <v>13</v>
      </c>
      <c r="X18">
        <v>188</v>
      </c>
      <c r="Y18">
        <v>97</v>
      </c>
      <c r="Z18">
        <v>51.6</v>
      </c>
    </row>
    <row r="19" spans="1:26" ht="12" customHeight="1" x14ac:dyDescent="0.15">
      <c r="A19" s="2" t="s">
        <v>50</v>
      </c>
      <c r="B19" s="2" t="s">
        <v>51</v>
      </c>
      <c r="C19" s="2" t="s">
        <v>34</v>
      </c>
      <c r="D19" s="2">
        <v>101</v>
      </c>
      <c r="E19" t="s">
        <v>53</v>
      </c>
      <c r="F19" t="s">
        <v>31</v>
      </c>
      <c r="G19">
        <v>1</v>
      </c>
      <c r="H19">
        <v>1.17</v>
      </c>
      <c r="I19">
        <v>12</v>
      </c>
      <c r="J19">
        <v>5</v>
      </c>
      <c r="K19">
        <v>41.67</v>
      </c>
      <c r="L19">
        <v>467</v>
      </c>
      <c r="M19">
        <v>407</v>
      </c>
      <c r="N19">
        <v>87.15</v>
      </c>
      <c r="O19">
        <v>46.58</v>
      </c>
      <c r="P19">
        <v>107</v>
      </c>
      <c r="Q19">
        <v>28</v>
      </c>
      <c r="R19">
        <v>47</v>
      </c>
      <c r="S19">
        <v>32</v>
      </c>
      <c r="T19">
        <v>89</v>
      </c>
      <c r="U19">
        <v>44</v>
      </c>
      <c r="V19">
        <v>35</v>
      </c>
      <c r="W19">
        <v>10</v>
      </c>
      <c r="X19">
        <v>188</v>
      </c>
      <c r="Y19">
        <v>89</v>
      </c>
      <c r="Z19">
        <v>47.34</v>
      </c>
    </row>
    <row r="20" spans="1:26" ht="12" customHeight="1" x14ac:dyDescent="0.15">
      <c r="A20" s="2" t="s">
        <v>54</v>
      </c>
      <c r="B20" s="2" t="s">
        <v>55</v>
      </c>
      <c r="C20" s="2" t="s">
        <v>34</v>
      </c>
      <c r="D20" s="2">
        <v>103</v>
      </c>
      <c r="E20" t="s">
        <v>15</v>
      </c>
      <c r="F20" t="s">
        <v>56</v>
      </c>
      <c r="G20">
        <v>1</v>
      </c>
      <c r="H20">
        <v>0.52</v>
      </c>
      <c r="I20">
        <v>5</v>
      </c>
      <c r="J20">
        <v>2</v>
      </c>
      <c r="K20">
        <v>40</v>
      </c>
      <c r="L20">
        <v>312</v>
      </c>
      <c r="M20">
        <v>228</v>
      </c>
      <c r="N20">
        <v>73.08</v>
      </c>
      <c r="O20">
        <v>41.11</v>
      </c>
      <c r="P20">
        <v>135</v>
      </c>
      <c r="Q20">
        <v>40</v>
      </c>
      <c r="R20">
        <v>49</v>
      </c>
      <c r="S20">
        <v>46</v>
      </c>
      <c r="T20">
        <v>73</v>
      </c>
      <c r="U20">
        <v>36</v>
      </c>
      <c r="V20">
        <v>26</v>
      </c>
      <c r="W20">
        <v>11</v>
      </c>
      <c r="X20">
        <v>217</v>
      </c>
      <c r="Y20">
        <v>83</v>
      </c>
      <c r="Z20">
        <v>38.25</v>
      </c>
    </row>
    <row r="21" spans="1:26" ht="12" customHeight="1" x14ac:dyDescent="0.15">
      <c r="A21" s="2" t="s">
        <v>54</v>
      </c>
      <c r="B21" s="2" t="s">
        <v>55</v>
      </c>
      <c r="C21" s="2" t="s">
        <v>34</v>
      </c>
      <c r="D21" s="2">
        <v>103</v>
      </c>
      <c r="E21" t="s">
        <v>57</v>
      </c>
      <c r="F21" t="s">
        <v>31</v>
      </c>
      <c r="G21">
        <v>0</v>
      </c>
      <c r="H21">
        <v>1.2</v>
      </c>
      <c r="I21">
        <v>14</v>
      </c>
      <c r="J21">
        <v>3</v>
      </c>
      <c r="K21">
        <v>21.43</v>
      </c>
      <c r="L21">
        <v>399</v>
      </c>
      <c r="M21">
        <v>316</v>
      </c>
      <c r="N21">
        <v>79.2</v>
      </c>
      <c r="O21">
        <v>58.89</v>
      </c>
      <c r="P21">
        <v>110</v>
      </c>
      <c r="Q21">
        <v>14</v>
      </c>
      <c r="R21">
        <v>35</v>
      </c>
      <c r="S21">
        <v>61</v>
      </c>
      <c r="T21">
        <v>85</v>
      </c>
      <c r="U21">
        <v>33</v>
      </c>
      <c r="V21">
        <v>34</v>
      </c>
      <c r="W21">
        <v>18</v>
      </c>
      <c r="X21">
        <v>217</v>
      </c>
      <c r="Y21">
        <v>122</v>
      </c>
      <c r="Z21">
        <v>56.22</v>
      </c>
    </row>
    <row r="22" spans="1:26" ht="12" customHeight="1" x14ac:dyDescent="0.15">
      <c r="A22" s="2" t="s">
        <v>58</v>
      </c>
      <c r="B22" s="2" t="s">
        <v>59</v>
      </c>
      <c r="C22" s="2" t="s">
        <v>19</v>
      </c>
      <c r="D22" s="2">
        <v>100</v>
      </c>
      <c r="E22" t="s">
        <v>15</v>
      </c>
      <c r="F22" t="s">
        <v>60</v>
      </c>
      <c r="G22">
        <v>0</v>
      </c>
      <c r="H22">
        <v>1.1100000000000001</v>
      </c>
      <c r="I22">
        <v>12</v>
      </c>
      <c r="J22">
        <v>4</v>
      </c>
      <c r="K22">
        <v>33.33</v>
      </c>
      <c r="L22">
        <v>366</v>
      </c>
      <c r="M22">
        <v>268</v>
      </c>
      <c r="N22">
        <v>73.22</v>
      </c>
      <c r="O22">
        <v>44.57</v>
      </c>
      <c r="P22">
        <v>153</v>
      </c>
      <c r="Q22">
        <v>25</v>
      </c>
      <c r="R22">
        <v>71</v>
      </c>
      <c r="S22">
        <v>57</v>
      </c>
      <c r="T22">
        <v>110</v>
      </c>
      <c r="U22">
        <v>51</v>
      </c>
      <c r="V22">
        <v>51</v>
      </c>
      <c r="W22">
        <v>8</v>
      </c>
      <c r="X22">
        <v>249</v>
      </c>
      <c r="Y22">
        <v>123</v>
      </c>
      <c r="Z22">
        <v>49.4</v>
      </c>
    </row>
    <row r="23" spans="1:26" ht="12" customHeight="1" x14ac:dyDescent="0.15">
      <c r="A23" s="2" t="s">
        <v>58</v>
      </c>
      <c r="B23" s="2" t="s">
        <v>59</v>
      </c>
      <c r="C23" s="2" t="s">
        <v>19</v>
      </c>
      <c r="D23" s="2">
        <v>100</v>
      </c>
      <c r="E23" t="s">
        <v>45</v>
      </c>
      <c r="F23" t="s">
        <v>31</v>
      </c>
      <c r="G23">
        <v>0</v>
      </c>
      <c r="H23">
        <v>1.02</v>
      </c>
      <c r="I23">
        <v>13</v>
      </c>
      <c r="J23">
        <v>4</v>
      </c>
      <c r="K23">
        <v>30.77</v>
      </c>
      <c r="L23">
        <v>444</v>
      </c>
      <c r="M23">
        <v>326</v>
      </c>
      <c r="N23">
        <v>73.42</v>
      </c>
      <c r="O23">
        <v>55.43</v>
      </c>
      <c r="P23">
        <v>149</v>
      </c>
      <c r="Q23">
        <v>19</v>
      </c>
      <c r="R23">
        <v>66</v>
      </c>
      <c r="S23">
        <v>64</v>
      </c>
      <c r="T23">
        <v>105</v>
      </c>
      <c r="U23">
        <v>40</v>
      </c>
      <c r="V23">
        <v>49</v>
      </c>
      <c r="W23">
        <v>16</v>
      </c>
      <c r="X23">
        <v>249</v>
      </c>
      <c r="Y23">
        <v>116</v>
      </c>
      <c r="Z23">
        <v>46.59</v>
      </c>
    </row>
    <row r="24" spans="1:26" ht="12" customHeight="1" x14ac:dyDescent="0.15">
      <c r="A24" s="2" t="s">
        <v>61</v>
      </c>
      <c r="B24" s="2" t="s">
        <v>62</v>
      </c>
      <c r="C24" s="2" t="s">
        <v>34</v>
      </c>
      <c r="D24" s="2">
        <v>106</v>
      </c>
      <c r="E24" t="s">
        <v>15</v>
      </c>
      <c r="F24" t="s">
        <v>39</v>
      </c>
      <c r="G24">
        <v>1</v>
      </c>
      <c r="H24">
        <v>2.23</v>
      </c>
      <c r="I24">
        <v>15</v>
      </c>
      <c r="J24">
        <v>7</v>
      </c>
      <c r="K24">
        <v>46.67</v>
      </c>
      <c r="L24">
        <v>459</v>
      </c>
      <c r="M24">
        <v>362</v>
      </c>
      <c r="N24">
        <v>78.87</v>
      </c>
      <c r="O24">
        <v>58.05</v>
      </c>
      <c r="P24">
        <v>132</v>
      </c>
      <c r="Q24">
        <v>15</v>
      </c>
      <c r="R24">
        <v>43</v>
      </c>
      <c r="S24">
        <v>74</v>
      </c>
      <c r="T24">
        <v>97</v>
      </c>
      <c r="U24">
        <v>31</v>
      </c>
      <c r="V24">
        <v>52</v>
      </c>
      <c r="W24">
        <v>14</v>
      </c>
      <c r="X24">
        <v>219</v>
      </c>
      <c r="Y24">
        <v>108</v>
      </c>
      <c r="Z24">
        <v>49.32</v>
      </c>
    </row>
    <row r="25" spans="1:26" ht="12" customHeight="1" x14ac:dyDescent="0.15">
      <c r="A25" s="2" t="s">
        <v>61</v>
      </c>
      <c r="B25" s="2" t="s">
        <v>62</v>
      </c>
      <c r="C25" s="2" t="s">
        <v>34</v>
      </c>
      <c r="D25" s="2">
        <v>106</v>
      </c>
      <c r="E25" t="s">
        <v>63</v>
      </c>
      <c r="F25" t="s">
        <v>64</v>
      </c>
      <c r="G25">
        <v>0</v>
      </c>
      <c r="H25">
        <v>0.41</v>
      </c>
      <c r="I25">
        <v>7</v>
      </c>
      <c r="J25">
        <v>2</v>
      </c>
      <c r="K25">
        <v>28.57</v>
      </c>
      <c r="L25">
        <v>369</v>
      </c>
      <c r="M25">
        <v>277</v>
      </c>
      <c r="N25">
        <v>75.069999999999993</v>
      </c>
      <c r="O25">
        <v>41.95</v>
      </c>
      <c r="P25">
        <v>155</v>
      </c>
      <c r="Q25">
        <v>33</v>
      </c>
      <c r="R25">
        <v>72</v>
      </c>
      <c r="S25">
        <v>50</v>
      </c>
      <c r="T25">
        <v>96</v>
      </c>
      <c r="U25">
        <v>50</v>
      </c>
      <c r="V25">
        <v>37</v>
      </c>
      <c r="W25">
        <v>9</v>
      </c>
      <c r="X25">
        <v>219</v>
      </c>
      <c r="Y25">
        <v>101</v>
      </c>
      <c r="Z25">
        <v>46.12</v>
      </c>
    </row>
    <row r="26" spans="1:26" ht="12" customHeight="1" x14ac:dyDescent="0.15">
      <c r="A26" s="2" t="s">
        <v>65</v>
      </c>
      <c r="B26" s="2" t="s">
        <v>66</v>
      </c>
      <c r="C26" s="2" t="s">
        <v>19</v>
      </c>
      <c r="D26" s="2">
        <v>105</v>
      </c>
      <c r="E26" t="s">
        <v>15</v>
      </c>
      <c r="F26" t="s">
        <v>67</v>
      </c>
      <c r="G26">
        <v>0</v>
      </c>
      <c r="H26">
        <v>0.3</v>
      </c>
      <c r="I26">
        <v>7</v>
      </c>
      <c r="J26">
        <v>2</v>
      </c>
      <c r="K26">
        <v>28.57</v>
      </c>
      <c r="L26">
        <v>423</v>
      </c>
      <c r="M26">
        <v>340</v>
      </c>
      <c r="N26">
        <v>80.38</v>
      </c>
      <c r="O26">
        <v>51.09</v>
      </c>
      <c r="P26">
        <v>127</v>
      </c>
      <c r="Q26">
        <v>20</v>
      </c>
      <c r="R26">
        <v>50</v>
      </c>
      <c r="S26">
        <v>57</v>
      </c>
      <c r="T26">
        <v>92</v>
      </c>
      <c r="U26">
        <v>42</v>
      </c>
      <c r="V26">
        <v>38</v>
      </c>
      <c r="W26">
        <v>12</v>
      </c>
      <c r="X26">
        <v>212</v>
      </c>
      <c r="Y26">
        <v>93</v>
      </c>
      <c r="Z26">
        <v>43.87</v>
      </c>
    </row>
    <row r="27" spans="1:26" ht="12" customHeight="1" x14ac:dyDescent="0.15">
      <c r="A27" s="2" t="s">
        <v>65</v>
      </c>
      <c r="B27" s="2" t="s">
        <v>66</v>
      </c>
      <c r="C27" s="2" t="s">
        <v>19</v>
      </c>
      <c r="D27" s="2">
        <v>105</v>
      </c>
      <c r="E27" t="s">
        <v>30</v>
      </c>
      <c r="F27" t="s">
        <v>31</v>
      </c>
      <c r="G27">
        <v>1</v>
      </c>
      <c r="H27">
        <v>1.1000000000000001</v>
      </c>
      <c r="I27">
        <v>12</v>
      </c>
      <c r="J27">
        <v>3</v>
      </c>
      <c r="K27">
        <v>25</v>
      </c>
      <c r="L27">
        <v>382</v>
      </c>
      <c r="M27">
        <v>298</v>
      </c>
      <c r="N27">
        <v>78.010000000000005</v>
      </c>
      <c r="O27">
        <v>48.91</v>
      </c>
      <c r="P27">
        <v>113</v>
      </c>
      <c r="Q27">
        <v>15</v>
      </c>
      <c r="R27">
        <v>53</v>
      </c>
      <c r="S27">
        <v>45</v>
      </c>
      <c r="T27">
        <v>83</v>
      </c>
      <c r="U27">
        <v>35</v>
      </c>
      <c r="V27">
        <v>42</v>
      </c>
      <c r="W27">
        <v>6</v>
      </c>
      <c r="X27">
        <v>212</v>
      </c>
      <c r="Y27">
        <v>111</v>
      </c>
      <c r="Z27">
        <v>52.36</v>
      </c>
    </row>
    <row r="28" spans="1:26" ht="12" customHeight="1" x14ac:dyDescent="0.15">
      <c r="A28" s="2" t="s">
        <v>68</v>
      </c>
      <c r="B28" s="2" t="s">
        <v>69</v>
      </c>
      <c r="C28" s="2" t="s">
        <v>34</v>
      </c>
      <c r="D28" s="2">
        <v>106</v>
      </c>
      <c r="E28" t="s">
        <v>15</v>
      </c>
      <c r="F28" t="s">
        <v>70</v>
      </c>
      <c r="G28">
        <v>2</v>
      </c>
      <c r="H28">
        <v>0.66</v>
      </c>
      <c r="I28">
        <v>6</v>
      </c>
      <c r="J28">
        <v>2</v>
      </c>
      <c r="K28">
        <v>33.33</v>
      </c>
      <c r="L28">
        <v>285</v>
      </c>
      <c r="M28">
        <v>216</v>
      </c>
      <c r="N28">
        <v>75.790000000000006</v>
      </c>
      <c r="O28">
        <v>37.090000000000003</v>
      </c>
      <c r="P28">
        <v>135</v>
      </c>
      <c r="Q28">
        <v>27</v>
      </c>
      <c r="R28">
        <v>61</v>
      </c>
      <c r="S28">
        <v>47</v>
      </c>
      <c r="T28">
        <v>88</v>
      </c>
      <c r="U28">
        <v>40</v>
      </c>
      <c r="V28">
        <v>41</v>
      </c>
      <c r="W28">
        <v>7</v>
      </c>
      <c r="X28">
        <v>233</v>
      </c>
      <c r="Y28">
        <v>115</v>
      </c>
      <c r="Z28">
        <v>49.36</v>
      </c>
    </row>
    <row r="29" spans="1:26" ht="12" customHeight="1" x14ac:dyDescent="0.15">
      <c r="A29" s="2" t="s">
        <v>68</v>
      </c>
      <c r="B29" s="2" t="s">
        <v>69</v>
      </c>
      <c r="C29" s="2" t="s">
        <v>34</v>
      </c>
      <c r="D29" s="2">
        <v>106</v>
      </c>
      <c r="E29" t="s">
        <v>71</v>
      </c>
      <c r="F29" t="s">
        <v>72</v>
      </c>
      <c r="G29">
        <v>0</v>
      </c>
      <c r="H29">
        <v>1.59</v>
      </c>
      <c r="I29">
        <v>15</v>
      </c>
      <c r="J29">
        <v>1</v>
      </c>
      <c r="K29">
        <v>6.67</v>
      </c>
      <c r="L29">
        <v>498</v>
      </c>
      <c r="M29">
        <v>405</v>
      </c>
      <c r="N29">
        <v>81.33</v>
      </c>
      <c r="O29">
        <v>62.91</v>
      </c>
      <c r="P29">
        <v>130</v>
      </c>
      <c r="Q29">
        <v>18</v>
      </c>
      <c r="R29">
        <v>54</v>
      </c>
      <c r="S29">
        <v>58</v>
      </c>
      <c r="T29">
        <v>100</v>
      </c>
      <c r="U29">
        <v>30</v>
      </c>
      <c r="V29">
        <v>56</v>
      </c>
      <c r="W29">
        <v>14</v>
      </c>
      <c r="X29">
        <v>233</v>
      </c>
      <c r="Y29">
        <v>110</v>
      </c>
      <c r="Z29">
        <v>47.21</v>
      </c>
    </row>
    <row r="30" spans="1:26" ht="12" customHeight="1" x14ac:dyDescent="0.15">
      <c r="A30" s="2" t="s">
        <v>73</v>
      </c>
      <c r="B30" s="2" t="s">
        <v>74</v>
      </c>
      <c r="C30" s="2" t="s">
        <v>34</v>
      </c>
      <c r="D30" s="2">
        <v>112</v>
      </c>
      <c r="E30" t="s">
        <v>15</v>
      </c>
      <c r="F30" t="s">
        <v>52</v>
      </c>
      <c r="G30">
        <v>1</v>
      </c>
      <c r="H30">
        <v>0.69</v>
      </c>
      <c r="I30">
        <v>11</v>
      </c>
      <c r="J30">
        <v>4</v>
      </c>
      <c r="K30">
        <v>36.36</v>
      </c>
      <c r="L30">
        <v>522</v>
      </c>
      <c r="M30">
        <v>420</v>
      </c>
      <c r="N30">
        <v>80.459999999999994</v>
      </c>
      <c r="O30">
        <v>62.37</v>
      </c>
      <c r="P30">
        <v>130</v>
      </c>
      <c r="Q30">
        <v>20</v>
      </c>
      <c r="R30">
        <v>53</v>
      </c>
      <c r="S30">
        <v>57</v>
      </c>
      <c r="T30">
        <v>95</v>
      </c>
      <c r="U30">
        <v>33</v>
      </c>
      <c r="V30">
        <v>46</v>
      </c>
      <c r="W30">
        <v>16</v>
      </c>
      <c r="X30">
        <v>197</v>
      </c>
      <c r="Y30">
        <v>93</v>
      </c>
      <c r="Z30">
        <v>47.21</v>
      </c>
    </row>
    <row r="31" spans="1:26" ht="12" customHeight="1" x14ac:dyDescent="0.15">
      <c r="A31" s="2" t="s">
        <v>73</v>
      </c>
      <c r="B31" s="2" t="s">
        <v>74</v>
      </c>
      <c r="C31" s="2" t="s">
        <v>34</v>
      </c>
      <c r="D31" s="2">
        <v>112</v>
      </c>
      <c r="E31" t="s">
        <v>75</v>
      </c>
      <c r="F31" t="s">
        <v>31</v>
      </c>
      <c r="G31">
        <v>5</v>
      </c>
      <c r="H31">
        <v>1.43</v>
      </c>
      <c r="I31">
        <v>12</v>
      </c>
      <c r="J31">
        <v>9</v>
      </c>
      <c r="K31">
        <v>75</v>
      </c>
      <c r="L31">
        <v>293</v>
      </c>
      <c r="M31">
        <v>217</v>
      </c>
      <c r="N31">
        <v>74.06</v>
      </c>
      <c r="O31">
        <v>37.630000000000003</v>
      </c>
      <c r="P31">
        <v>136</v>
      </c>
      <c r="Q31">
        <v>27</v>
      </c>
      <c r="R31">
        <v>60</v>
      </c>
      <c r="S31">
        <v>49</v>
      </c>
      <c r="T31">
        <v>75</v>
      </c>
      <c r="U31">
        <v>28</v>
      </c>
      <c r="V31">
        <v>36</v>
      </c>
      <c r="W31">
        <v>11</v>
      </c>
      <c r="X31">
        <v>197</v>
      </c>
      <c r="Y31">
        <v>93</v>
      </c>
      <c r="Z31">
        <v>47.21</v>
      </c>
    </row>
    <row r="32" spans="1:26" ht="12" customHeight="1" x14ac:dyDescent="0.15">
      <c r="A32" s="2" t="s">
        <v>76</v>
      </c>
      <c r="B32" s="2" t="s">
        <v>77</v>
      </c>
      <c r="C32" s="2" t="s">
        <v>34</v>
      </c>
      <c r="D32" s="2">
        <v>100</v>
      </c>
      <c r="E32" t="s">
        <v>15</v>
      </c>
      <c r="F32" t="s">
        <v>78</v>
      </c>
      <c r="G32">
        <v>2</v>
      </c>
      <c r="H32">
        <v>1.71</v>
      </c>
      <c r="I32">
        <v>9</v>
      </c>
      <c r="J32">
        <v>4</v>
      </c>
      <c r="K32">
        <v>44.44</v>
      </c>
      <c r="L32">
        <v>487</v>
      </c>
      <c r="M32">
        <v>392</v>
      </c>
      <c r="N32">
        <v>80.489999999999995</v>
      </c>
      <c r="O32">
        <v>60.03</v>
      </c>
      <c r="P32">
        <v>144</v>
      </c>
      <c r="Q32">
        <v>23</v>
      </c>
      <c r="R32">
        <v>67</v>
      </c>
      <c r="S32">
        <v>54</v>
      </c>
      <c r="T32">
        <v>92</v>
      </c>
      <c r="U32">
        <v>39</v>
      </c>
      <c r="V32">
        <v>43</v>
      </c>
      <c r="W32">
        <v>10</v>
      </c>
      <c r="X32">
        <v>180</v>
      </c>
      <c r="Y32">
        <v>89</v>
      </c>
      <c r="Z32">
        <v>49.44</v>
      </c>
    </row>
    <row r="33" spans="1:26" ht="12" customHeight="1" x14ac:dyDescent="0.15">
      <c r="A33" s="2" t="s">
        <v>76</v>
      </c>
      <c r="B33" s="2" t="s">
        <v>77</v>
      </c>
      <c r="C33" s="2" t="s">
        <v>34</v>
      </c>
      <c r="D33" s="2">
        <v>100</v>
      </c>
      <c r="E33" t="s">
        <v>79</v>
      </c>
      <c r="F33" t="s">
        <v>80</v>
      </c>
      <c r="G33">
        <v>3</v>
      </c>
      <c r="H33">
        <v>0.6</v>
      </c>
      <c r="I33">
        <v>7</v>
      </c>
      <c r="J33">
        <v>4</v>
      </c>
      <c r="K33">
        <v>57.14</v>
      </c>
      <c r="L33">
        <v>282</v>
      </c>
      <c r="M33">
        <v>205</v>
      </c>
      <c r="N33">
        <v>72.7</v>
      </c>
      <c r="O33">
        <v>39.97</v>
      </c>
      <c r="P33">
        <v>124</v>
      </c>
      <c r="Q33">
        <v>13</v>
      </c>
      <c r="R33">
        <v>61</v>
      </c>
      <c r="S33">
        <v>50</v>
      </c>
      <c r="T33">
        <v>91</v>
      </c>
      <c r="U33">
        <v>37</v>
      </c>
      <c r="V33">
        <v>41</v>
      </c>
      <c r="W33">
        <v>13</v>
      </c>
      <c r="X33">
        <v>180</v>
      </c>
      <c r="Y33">
        <v>81</v>
      </c>
      <c r="Z33">
        <v>45</v>
      </c>
    </row>
    <row r="34" spans="1:26" ht="12" customHeight="1" x14ac:dyDescent="0.15">
      <c r="A34" s="2" t="s">
        <v>81</v>
      </c>
      <c r="B34" s="2" t="s">
        <v>82</v>
      </c>
      <c r="C34" s="2" t="s">
        <v>34</v>
      </c>
      <c r="D34" s="2">
        <v>107</v>
      </c>
      <c r="E34" t="s">
        <v>15</v>
      </c>
      <c r="F34" t="s">
        <v>60</v>
      </c>
      <c r="G34">
        <v>2</v>
      </c>
      <c r="H34">
        <v>1.1499999999999999</v>
      </c>
      <c r="I34">
        <v>12</v>
      </c>
      <c r="J34">
        <v>2</v>
      </c>
      <c r="K34">
        <v>16.670000000000002</v>
      </c>
      <c r="L34">
        <v>374</v>
      </c>
      <c r="M34">
        <v>293</v>
      </c>
      <c r="N34">
        <v>78.34</v>
      </c>
      <c r="O34">
        <v>45.09</v>
      </c>
      <c r="P34">
        <v>116</v>
      </c>
      <c r="Q34">
        <v>18</v>
      </c>
      <c r="R34">
        <v>35</v>
      </c>
      <c r="S34">
        <v>63</v>
      </c>
      <c r="T34">
        <v>76</v>
      </c>
      <c r="U34">
        <v>30</v>
      </c>
      <c r="V34">
        <v>30</v>
      </c>
      <c r="W34">
        <v>16</v>
      </c>
      <c r="X34">
        <v>164</v>
      </c>
      <c r="Y34">
        <v>92</v>
      </c>
      <c r="Z34">
        <v>56.1</v>
      </c>
    </row>
    <row r="35" spans="1:26" ht="12" customHeight="1" x14ac:dyDescent="0.15">
      <c r="A35" s="2" t="s">
        <v>81</v>
      </c>
      <c r="B35" s="2" t="s">
        <v>82</v>
      </c>
      <c r="C35" s="2" t="s">
        <v>34</v>
      </c>
      <c r="D35" s="2">
        <v>107</v>
      </c>
      <c r="E35" t="s">
        <v>83</v>
      </c>
      <c r="F35" t="s">
        <v>20</v>
      </c>
      <c r="G35">
        <v>3</v>
      </c>
      <c r="H35">
        <v>1.04</v>
      </c>
      <c r="I35">
        <v>16</v>
      </c>
      <c r="J35">
        <v>7</v>
      </c>
      <c r="K35">
        <v>43.75</v>
      </c>
      <c r="L35">
        <v>514</v>
      </c>
      <c r="M35">
        <v>432</v>
      </c>
      <c r="N35">
        <v>84.05</v>
      </c>
      <c r="O35">
        <v>54.91</v>
      </c>
      <c r="P35">
        <v>118</v>
      </c>
      <c r="Q35">
        <v>22</v>
      </c>
      <c r="R35">
        <v>54</v>
      </c>
      <c r="S35">
        <v>42</v>
      </c>
      <c r="T35">
        <v>69</v>
      </c>
      <c r="U35">
        <v>40</v>
      </c>
      <c r="V35">
        <v>23</v>
      </c>
      <c r="W35">
        <v>6</v>
      </c>
      <c r="X35">
        <v>164</v>
      </c>
      <c r="Y35">
        <v>69</v>
      </c>
      <c r="Z35">
        <v>42.07</v>
      </c>
    </row>
  </sheetData>
  <mergeCells count="69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Williams, Anissa (Student)</cp:lastModifiedBy>
  <dcterms:created xsi:type="dcterms:W3CDTF">2026-05-01T18:47:29Z</dcterms:created>
  <dcterms:modified xsi:type="dcterms:W3CDTF">2026-06-15T19:11:51Z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2026-05-01T18:44:54Z</dcterms:created>
  <cp:revision>0</cp:revision>
</cp:coreProperties>
</file>